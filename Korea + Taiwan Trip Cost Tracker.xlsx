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lights" sheetId="2" r:id="rId6"/>
    <sheet state="visible" name="Lodging" sheetId="3" r:id="rId7"/>
    <sheet state="visible" name="Transportation" sheetId="4" r:id="rId8"/>
    <sheet state="visible" name="Activities &amp; Tickets" sheetId="5" r:id="rId9"/>
  </sheets>
  <definedNames/>
  <calcPr/>
</workbook>
</file>

<file path=xl/sharedStrings.xml><?xml version="1.0" encoding="utf-8"?>
<sst xmlns="http://schemas.openxmlformats.org/spreadsheetml/2006/main" count="128" uniqueCount="67">
  <si>
    <t>Category</t>
  </si>
  <si>
    <t>Total</t>
  </si>
  <si>
    <t>Notes</t>
  </si>
  <si>
    <t>Flights</t>
  </si>
  <si>
    <t>Lodging</t>
  </si>
  <si>
    <t>Transportation</t>
  </si>
  <si>
    <t>Activities &amp; Tickets</t>
  </si>
  <si>
    <t>TOTAL</t>
  </si>
  <si>
    <t>Person</t>
  </si>
  <si>
    <t>Route</t>
  </si>
  <si>
    <t>Airline</t>
  </si>
  <si>
    <t>Est. Cost</t>
  </si>
  <si>
    <t>Actual Cost</t>
  </si>
  <si>
    <t>Booking Ref</t>
  </si>
  <si>
    <t>Paid?</t>
  </si>
  <si>
    <t>Alex</t>
  </si>
  <si>
    <t>SFO → ICN</t>
  </si>
  <si>
    <t>United Airlines</t>
  </si>
  <si>
    <t>APRHQK</t>
  </si>
  <si>
    <t>Depart: Mon Oct 26, 10:30 AM (SFO)
Arrive: Tue Oct 27, 3:15 PM (ICN)
United Airlines · UA 893 · 12h 45m</t>
  </si>
  <si>
    <t>Stephen</t>
  </si>
  <si>
    <t>Mike</t>
  </si>
  <si>
    <t>A8WZP7</t>
  </si>
  <si>
    <t>Kevin</t>
  </si>
  <si>
    <t>PUS → TPE</t>
  </si>
  <si>
    <t>China Airlines</t>
  </si>
  <si>
    <t>FP8OFL</t>
  </si>
  <si>
    <t>Depart: Mon Nov 3, 11:50 AM (PUS)
Arrive: Mon Nov 3, 1:30 PM (TPE)
China Airlines · CI 189 · 2h40m</t>
  </si>
  <si>
    <t>B44REC</t>
  </si>
  <si>
    <t>Booked for Tues Nov 3</t>
  </si>
  <si>
    <t>China Airlines CI 189</t>
  </si>
  <si>
    <t>TPE → SFO</t>
  </si>
  <si>
    <t>EVA Air</t>
  </si>
  <si>
    <t>FPCRA9</t>
  </si>
  <si>
    <t>Depart: Mon Nov 9, 11:30 AM (TPE)
Arrive: Mon Nov 9, 6:40 AM (SFO)
EVA Air · BR 008 · 11h10m</t>
  </si>
  <si>
    <t>B3R8EZ</t>
  </si>
  <si>
    <t>City</t>
  </si>
  <si>
    <t>Dates</t>
  </si>
  <si>
    <t>Place</t>
  </si>
  <si>
    <t>Total Cost</t>
  </si>
  <si>
    <t>Split (4 ppl)</t>
  </si>
  <si>
    <t>Booking #</t>
  </si>
  <si>
    <t>Seoul</t>
  </si>
  <si>
    <t>Oct 27–Nov 1</t>
  </si>
  <si>
    <t>Airbnb</t>
  </si>
  <si>
    <t>Hongdae Airbnb</t>
  </si>
  <si>
    <t>HMCJQNFK92</t>
  </si>
  <si>
    <t>Busan</t>
  </si>
  <si>
    <t>Nov 1–Nov 3</t>
  </si>
  <si>
    <t>Hotel</t>
  </si>
  <si>
    <r>
      <rPr>
        <color rgb="FF1155CC"/>
        <u/>
      </rPr>
      <t>Gwanganli Hotel 1</t>
    </r>
    <r>
      <rPr/>
      <t xml:space="preserve">
Two Rooms Bunk Beds</t>
    </r>
  </si>
  <si>
    <t>Taipei</t>
  </si>
  <si>
    <t>Nov 3–Nov 9</t>
  </si>
  <si>
    <t>Ximending Airbnb</t>
  </si>
  <si>
    <t>HMRJ59QS8R</t>
  </si>
  <si>
    <t>Type</t>
  </si>
  <si>
    <t>Train</t>
  </si>
  <si>
    <t>Seoul → Busan (KTX)</t>
  </si>
  <si>
    <t>https://rail.ninja/trains/order/timetable</t>
  </si>
  <si>
    <t>Metro</t>
  </si>
  <si>
    <t>T-Money Card</t>
  </si>
  <si>
    <t>Activity</t>
  </si>
  <si>
    <t>Required?</t>
  </si>
  <si>
    <t>DMZ Tour</t>
  </si>
  <si>
    <t>Optional</t>
  </si>
  <si>
    <t>Jiufen Day Trip</t>
  </si>
  <si>
    <t>Hot Springs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</si>
</sst>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2" numFmtId="0" xfId="0" applyAlignment="1" applyFill="1" applyFont="1">
      <alignment readingOrder="0"/>
    </xf>
    <xf borderId="0" fillId="2" fontId="2" numFmtId="165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borderId="0" fillId="2" fontId="2" numFmtId="0" xfId="0" applyFont="1"/>
    <xf borderId="0" fillId="2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165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horizontal="center" readingOrder="0"/>
    </xf>
    <xf borderId="0" fillId="3" fontId="2" numFmtId="0" xfId="0" applyFont="1"/>
    <xf borderId="0" fillId="3" fontId="2" numFmtId="16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165" xfId="0" applyAlignment="1" applyFont="1" applyNumberFormat="1">
      <alignment readingOrder="0"/>
    </xf>
    <xf borderId="0" fillId="4" fontId="2" numFmtId="164" xfId="0" applyAlignment="1" applyFont="1" applyNumberFormat="1">
      <alignment readingOrder="0"/>
    </xf>
    <xf borderId="0" fillId="4" fontId="2" numFmtId="0" xfId="0" applyAlignment="1" applyFont="1">
      <alignment horizontal="center" readingOrder="0"/>
    </xf>
    <xf borderId="0" fillId="4" fontId="2" numFmtId="0" xfId="0" applyFont="1"/>
    <xf borderId="0" fillId="4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nb.com/rooms/1573071742783630554?check_in=2026-10-27&amp;check_out=2026-11-01&amp;guests=1&amp;adults=4&amp;s=67&amp;unique_share_id=1c0b3b38-ff95-4049-9c8c-977491c97414" TargetMode="External"/><Relationship Id="rId2" Type="http://schemas.openxmlformats.org/officeDocument/2006/relationships/hyperlink" Target="https://www.agoda.com/gwanganli-hotel-1_2/hotel/busan-kr.html?countryId=212&amp;finalPriceView=1&amp;isShowMobileAppPrice=false&amp;cid=1650538&amp;numberOfBedrooms=&amp;familyMode=false&amp;adults=4&amp;children=0&amp;rooms=1&amp;maxRooms=0&amp;checkIn=2026-11-1&amp;isCalendarCallout=false&amp;childAges=&amp;numberOfGuest=0&amp;missingChildAges=false&amp;travellerType=3&amp;showReviewSubmissionEntry=false&amp;currencyCode=USD&amp;isFreeOccSearch=false&amp;tag=754449456C433330705A335151647739796679354A67&amp;tspTypes=8&amp;los=2&amp;searchrequestid=f96aa650-9ad8-40d7-b89a-c2cd24d02d47&amp;ds=Yor90fgT1F%2FFqTkQ" TargetMode="External"/><Relationship Id="rId3" Type="http://schemas.openxmlformats.org/officeDocument/2006/relationships/hyperlink" Target="https://www.airbnb.com/rooms/23760253?check_in=2026-11-03&amp;check_out=2026-11-09&amp;guests=1&amp;adults=4&amp;s=67&amp;unique_share_id=d636a5ee-c8ab-4974-9477-d94ae9e66d4c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ail.ninja/trains/order/timetabl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6.2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>
        <f>SUM(Flights!E2, Flights!E6, Flights!E10)</f>
        <v>1629.82</v>
      </c>
    </row>
    <row r="3">
      <c r="A3" s="3" t="s">
        <v>4</v>
      </c>
      <c r="B3" s="4">
        <f>SUM(Lodging!E2, Lodging!E3, Lodging!E4)</f>
        <v>589.78</v>
      </c>
    </row>
    <row r="4">
      <c r="A4" s="3" t="s">
        <v>5</v>
      </c>
      <c r="B4" s="5">
        <f>SUM(Transportation!D2)</f>
        <v>74</v>
      </c>
    </row>
    <row r="5">
      <c r="A5" s="3" t="s">
        <v>6</v>
      </c>
    </row>
    <row r="6">
      <c r="A6" s="6" t="s">
        <v>7</v>
      </c>
      <c r="B6" s="4">
        <f>SUM(B2:B5)</f>
        <v>2293.6</v>
      </c>
    </row>
    <row r="7">
      <c r="A7" s="7"/>
    </row>
    <row r="8">
      <c r="A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7.25"/>
    <col customWidth="1" min="3" max="3" width="13.88"/>
    <col customWidth="1" min="8" max="8" width="32.88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8" t="s">
        <v>15</v>
      </c>
      <c r="B2" s="8" t="s">
        <v>16</v>
      </c>
      <c r="C2" s="8" t="s">
        <v>17</v>
      </c>
      <c r="D2" s="9">
        <v>763.0</v>
      </c>
      <c r="E2" s="10">
        <v>883.5</v>
      </c>
      <c r="F2" s="11" t="s">
        <v>18</v>
      </c>
      <c r="G2" s="8" t="b">
        <v>1</v>
      </c>
      <c r="H2" s="8" t="s">
        <v>19</v>
      </c>
    </row>
    <row r="3">
      <c r="A3" s="8" t="s">
        <v>20</v>
      </c>
      <c r="B3" s="8" t="s">
        <v>16</v>
      </c>
      <c r="C3" s="8" t="s">
        <v>17</v>
      </c>
      <c r="D3" s="9">
        <v>763.0</v>
      </c>
      <c r="E3" s="10">
        <v>883.5</v>
      </c>
      <c r="F3" s="11" t="s">
        <v>18</v>
      </c>
      <c r="G3" s="11" t="b">
        <v>1</v>
      </c>
      <c r="H3" s="12"/>
    </row>
    <row r="4">
      <c r="A4" s="8" t="s">
        <v>21</v>
      </c>
      <c r="B4" s="8" t="s">
        <v>16</v>
      </c>
      <c r="C4" s="8" t="s">
        <v>17</v>
      </c>
      <c r="D4" s="9">
        <v>763.0</v>
      </c>
      <c r="E4" s="13">
        <v>883.5</v>
      </c>
      <c r="F4" s="11" t="s">
        <v>22</v>
      </c>
      <c r="G4" s="11" t="b">
        <v>1</v>
      </c>
      <c r="H4" s="12"/>
    </row>
    <row r="5">
      <c r="A5" s="8" t="s">
        <v>23</v>
      </c>
      <c r="B5" s="8" t="s">
        <v>16</v>
      </c>
      <c r="C5" s="8" t="s">
        <v>17</v>
      </c>
      <c r="D5" s="9">
        <v>763.0</v>
      </c>
      <c r="E5" s="13">
        <v>883.5</v>
      </c>
      <c r="F5" s="11" t="s">
        <v>22</v>
      </c>
      <c r="G5" s="11" t="b">
        <v>1</v>
      </c>
      <c r="H5" s="12"/>
    </row>
    <row r="6">
      <c r="A6" s="14" t="s">
        <v>15</v>
      </c>
      <c r="B6" s="14" t="s">
        <v>24</v>
      </c>
      <c r="C6" s="14" t="s">
        <v>25</v>
      </c>
      <c r="D6" s="15">
        <v>160.0</v>
      </c>
      <c r="E6" s="16">
        <v>170.45</v>
      </c>
      <c r="F6" s="17" t="s">
        <v>26</v>
      </c>
      <c r="G6" s="17" t="b">
        <v>1</v>
      </c>
      <c r="H6" s="14" t="s">
        <v>27</v>
      </c>
    </row>
    <row r="7">
      <c r="A7" s="14" t="s">
        <v>20</v>
      </c>
      <c r="B7" s="14" t="s">
        <v>24</v>
      </c>
      <c r="C7" s="14" t="s">
        <v>25</v>
      </c>
      <c r="D7" s="15">
        <v>160.0</v>
      </c>
      <c r="E7" s="16">
        <v>170.45</v>
      </c>
      <c r="F7" s="17" t="s">
        <v>26</v>
      </c>
      <c r="G7" s="17" t="b">
        <v>1</v>
      </c>
      <c r="H7" s="18"/>
    </row>
    <row r="8">
      <c r="A8" s="14" t="s">
        <v>21</v>
      </c>
      <c r="B8" s="14" t="s">
        <v>24</v>
      </c>
      <c r="C8" s="14" t="s">
        <v>25</v>
      </c>
      <c r="D8" s="15">
        <v>160.0</v>
      </c>
      <c r="E8" s="19">
        <v>170.0</v>
      </c>
      <c r="F8" s="17" t="s">
        <v>28</v>
      </c>
      <c r="G8" s="17" t="b">
        <v>1</v>
      </c>
      <c r="H8" s="14" t="s">
        <v>29</v>
      </c>
    </row>
    <row r="9">
      <c r="A9" s="14" t="s">
        <v>23</v>
      </c>
      <c r="B9" s="14" t="s">
        <v>24</v>
      </c>
      <c r="C9" s="14" t="s">
        <v>25</v>
      </c>
      <c r="D9" s="15">
        <v>160.0</v>
      </c>
      <c r="E9" s="19">
        <v>170.0</v>
      </c>
      <c r="F9" s="17" t="s">
        <v>28</v>
      </c>
      <c r="G9" s="17" t="b">
        <v>1</v>
      </c>
      <c r="H9" s="14" t="s">
        <v>30</v>
      </c>
    </row>
    <row r="10">
      <c r="A10" s="20" t="s">
        <v>15</v>
      </c>
      <c r="B10" s="20" t="s">
        <v>31</v>
      </c>
      <c r="C10" s="20" t="s">
        <v>32</v>
      </c>
      <c r="D10" s="21">
        <v>535.0</v>
      </c>
      <c r="E10" s="22">
        <v>575.87</v>
      </c>
      <c r="F10" s="23" t="s">
        <v>33</v>
      </c>
      <c r="G10" s="23" t="b">
        <v>1</v>
      </c>
      <c r="H10" s="20" t="s">
        <v>34</v>
      </c>
    </row>
    <row r="11">
      <c r="A11" s="20" t="s">
        <v>20</v>
      </c>
      <c r="B11" s="20" t="s">
        <v>31</v>
      </c>
      <c r="C11" s="20" t="s">
        <v>32</v>
      </c>
      <c r="D11" s="21">
        <v>535.0</v>
      </c>
      <c r="E11" s="22">
        <v>575.87</v>
      </c>
      <c r="F11" s="23" t="s">
        <v>33</v>
      </c>
      <c r="G11" s="23" t="b">
        <v>1</v>
      </c>
      <c r="H11" s="24"/>
    </row>
    <row r="12">
      <c r="A12" s="20" t="s">
        <v>21</v>
      </c>
      <c r="B12" s="20" t="s">
        <v>31</v>
      </c>
      <c r="C12" s="20" t="s">
        <v>32</v>
      </c>
      <c r="D12" s="21">
        <v>535.0</v>
      </c>
      <c r="E12" s="25">
        <v>560.93</v>
      </c>
      <c r="F12" s="23" t="s">
        <v>35</v>
      </c>
      <c r="G12" s="23" t="b">
        <v>1</v>
      </c>
      <c r="H12" s="24"/>
    </row>
    <row r="13">
      <c r="A13" s="20" t="s">
        <v>23</v>
      </c>
      <c r="B13" s="20" t="s">
        <v>31</v>
      </c>
      <c r="C13" s="20" t="s">
        <v>32</v>
      </c>
      <c r="D13" s="21">
        <v>535.0</v>
      </c>
      <c r="E13" s="25">
        <v>560.93</v>
      </c>
      <c r="F13" s="23" t="s">
        <v>35</v>
      </c>
      <c r="G13" s="23" t="b">
        <v>1</v>
      </c>
      <c r="H13" s="24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14</v>
      </c>
      <c r="G1" s="1" t="s">
        <v>2</v>
      </c>
      <c r="H1" s="26" t="s">
        <v>41</v>
      </c>
    </row>
    <row r="2">
      <c r="A2" s="26" t="s">
        <v>42</v>
      </c>
      <c r="B2" s="26" t="s">
        <v>43</v>
      </c>
      <c r="C2" s="26" t="s">
        <v>44</v>
      </c>
      <c r="D2" s="27">
        <v>903.08</v>
      </c>
      <c r="E2" s="28">
        <v>225.77</v>
      </c>
      <c r="F2" s="29" t="b">
        <v>1</v>
      </c>
      <c r="G2" s="30" t="s">
        <v>45</v>
      </c>
      <c r="H2" s="31" t="s">
        <v>46</v>
      </c>
    </row>
    <row r="3">
      <c r="A3" s="26" t="s">
        <v>47</v>
      </c>
      <c r="B3" s="26" t="s">
        <v>48</v>
      </c>
      <c r="C3" s="26" t="s">
        <v>49</v>
      </c>
      <c r="D3" s="28">
        <v>210.8</v>
      </c>
      <c r="E3" s="28">
        <v>52.7</v>
      </c>
      <c r="F3" s="29" t="b">
        <v>1</v>
      </c>
      <c r="G3" s="30" t="s">
        <v>50</v>
      </c>
      <c r="H3" s="31">
        <v>9.6000323E8</v>
      </c>
    </row>
    <row r="4">
      <c r="A4" s="26" t="s">
        <v>51</v>
      </c>
      <c r="B4" s="26" t="s">
        <v>52</v>
      </c>
      <c r="C4" s="26" t="s">
        <v>44</v>
      </c>
      <c r="D4" s="32">
        <v>1245.26</v>
      </c>
      <c r="E4" s="28">
        <v>311.31</v>
      </c>
      <c r="F4" s="29" t="b">
        <v>1</v>
      </c>
      <c r="G4" s="30" t="s">
        <v>53</v>
      </c>
      <c r="H4" s="31" t="s">
        <v>54</v>
      </c>
    </row>
  </sheetData>
  <hyperlinks>
    <hyperlink r:id="rId1" ref="G2"/>
    <hyperlink r:id="rId2" ref="G3"/>
    <hyperlink r:id="rId3" ref="G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7" max="7" width="39.0"/>
  </cols>
  <sheetData>
    <row r="1">
      <c r="A1" s="1" t="s">
        <v>8</v>
      </c>
      <c r="B1" s="1" t="s">
        <v>55</v>
      </c>
      <c r="C1" s="1" t="s">
        <v>9</v>
      </c>
      <c r="D1" s="1" t="s">
        <v>11</v>
      </c>
      <c r="E1" s="1" t="s">
        <v>12</v>
      </c>
      <c r="F1" s="1" t="s">
        <v>14</v>
      </c>
      <c r="G1" s="1" t="s">
        <v>2</v>
      </c>
    </row>
    <row r="2">
      <c r="A2" s="26" t="s">
        <v>15</v>
      </c>
      <c r="B2" s="26" t="s">
        <v>56</v>
      </c>
      <c r="C2" s="26" t="s">
        <v>57</v>
      </c>
      <c r="D2" s="32">
        <v>74.0</v>
      </c>
      <c r="F2" s="29" t="b">
        <v>0</v>
      </c>
      <c r="G2" s="33" t="s">
        <v>58</v>
      </c>
    </row>
    <row r="3">
      <c r="A3" s="26" t="s">
        <v>20</v>
      </c>
      <c r="B3" s="26" t="s">
        <v>56</v>
      </c>
      <c r="C3" s="26" t="s">
        <v>57</v>
      </c>
      <c r="D3" s="32">
        <v>74.0</v>
      </c>
      <c r="F3" s="29" t="b">
        <v>0</v>
      </c>
    </row>
    <row r="4">
      <c r="A4" s="26" t="s">
        <v>21</v>
      </c>
      <c r="B4" s="26" t="s">
        <v>56</v>
      </c>
      <c r="C4" s="26" t="s">
        <v>57</v>
      </c>
      <c r="D4" s="32">
        <v>74.0</v>
      </c>
      <c r="F4" s="29" t="b">
        <v>0</v>
      </c>
    </row>
    <row r="5">
      <c r="A5" s="26" t="s">
        <v>23</v>
      </c>
      <c r="B5" s="26" t="s">
        <v>56</v>
      </c>
      <c r="C5" s="26" t="s">
        <v>57</v>
      </c>
      <c r="D5" s="32">
        <v>74.0</v>
      </c>
      <c r="F5" s="29" t="b">
        <v>0</v>
      </c>
    </row>
    <row r="6">
      <c r="A6" s="26"/>
      <c r="B6" s="26" t="s">
        <v>59</v>
      </c>
      <c r="C6" s="26" t="s">
        <v>60</v>
      </c>
    </row>
  </sheetData>
  <hyperlinks>
    <hyperlink r:id="rId1" ref="G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61</v>
      </c>
      <c r="C1" s="1" t="s">
        <v>11</v>
      </c>
      <c r="D1" s="1" t="s">
        <v>12</v>
      </c>
      <c r="E1" s="1" t="s">
        <v>62</v>
      </c>
      <c r="F1" s="1" t="s">
        <v>2</v>
      </c>
    </row>
    <row r="2">
      <c r="A2" s="26" t="s">
        <v>42</v>
      </c>
      <c r="B2" s="26" t="s">
        <v>63</v>
      </c>
      <c r="C2" s="26" t="s">
        <v>64</v>
      </c>
    </row>
    <row r="3">
      <c r="A3" s="26" t="s">
        <v>51</v>
      </c>
      <c r="B3" s="26" t="s">
        <v>65</v>
      </c>
      <c r="C3" s="26" t="s">
        <v>64</v>
      </c>
    </row>
    <row r="4">
      <c r="A4" s="26" t="s">
        <v>51</v>
      </c>
      <c r="B4" s="26" t="s">
        <v>66</v>
      </c>
      <c r="C4" s="26" t="s">
        <v>64</v>
      </c>
    </row>
  </sheetData>
  <drawing r:id="rId1"/>
</worksheet>
</file>